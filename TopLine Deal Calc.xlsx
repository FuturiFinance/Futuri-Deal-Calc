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jw/Futuri Media Dropbox/Daniel Wise/DJW/Misc/2026/"/>
    </mc:Choice>
  </mc:AlternateContent>
  <xr:revisionPtr revIDLastSave="0" documentId="8_{02A33142-56B2-4D43-AEDC-EA82BA58785E}" xr6:coauthVersionLast="47" xr6:coauthVersionMax="47" xr10:uidLastSave="{00000000-0000-0000-0000-000000000000}"/>
  <bookViews>
    <workbookView xWindow="20440" yWindow="620" windowWidth="20280" windowHeight="19620" tabRatio="500" xr2:uid="{00000000-000D-0000-FFFF-FFFF00000000}"/>
  </bookViews>
  <sheets>
    <sheet name="Deal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2" i="1" l="1"/>
  <c r="E52" i="1"/>
  <c r="F50" i="1"/>
  <c r="E50" i="1"/>
  <c r="D49" i="1"/>
  <c r="D53" i="1" s="1"/>
  <c r="D61" i="1" s="1"/>
  <c r="C44" i="1"/>
  <c r="C42" i="1"/>
  <c r="E40" i="1"/>
  <c r="F40" i="1" s="1"/>
  <c r="D34" i="1"/>
  <c r="D35" i="1" s="1"/>
  <c r="D59" i="1" s="1"/>
  <c r="D64" i="1" s="1"/>
  <c r="D33" i="1"/>
  <c r="E33" i="1" s="1"/>
  <c r="F33" i="1" s="1"/>
  <c r="D32" i="1"/>
  <c r="E32" i="1" s="1"/>
  <c r="E22" i="1"/>
  <c r="E28" i="1" s="1"/>
  <c r="E58" i="1" s="1"/>
  <c r="C16" i="1"/>
  <c r="F16" i="1" s="1"/>
  <c r="F13" i="1"/>
  <c r="F10" i="1"/>
  <c r="E10" i="1"/>
  <c r="C45" i="1" l="1"/>
  <c r="C46" i="1" s="1"/>
  <c r="E47" i="1" s="1"/>
  <c r="F47" i="1" s="1"/>
  <c r="F53" i="1" s="1"/>
  <c r="F62" i="1" s="1"/>
  <c r="F17" i="1"/>
  <c r="F57" i="1" s="1"/>
  <c r="E16" i="1"/>
  <c r="F32" i="1"/>
  <c r="F22" i="1"/>
  <c r="F28" i="1" s="1"/>
  <c r="F58" i="1" s="1"/>
  <c r="E34" i="1"/>
  <c r="F34" i="1" s="1"/>
  <c r="E13" i="1"/>
  <c r="E53" i="1" l="1"/>
  <c r="E62" i="1" s="1"/>
  <c r="E17" i="1"/>
  <c r="E57" i="1" s="1"/>
  <c r="E35" i="1"/>
  <c r="E60" i="1" s="1"/>
  <c r="F35" i="1"/>
  <c r="F60" i="1" s="1"/>
  <c r="F66" i="1" s="1"/>
  <c r="E65" i="1" l="1"/>
  <c r="F67" i="1" s="1"/>
</calcChain>
</file>

<file path=xl/sharedStrings.xml><?xml version="1.0" encoding="utf-8"?>
<sst xmlns="http://schemas.openxmlformats.org/spreadsheetml/2006/main" count="114" uniqueCount="94">
  <si>
    <t>Futuri Media  •  Confidential</t>
  </si>
  <si>
    <t xml:space="preserve">  CLIENT INFORMATION</t>
  </si>
  <si>
    <t>Client Name</t>
  </si>
  <si>
    <t>Date</t>
  </si>
  <si>
    <t xml:space="preserve">  1. BASE PRODUCT SELECTION</t>
  </si>
  <si>
    <t>Description</t>
  </si>
  <si>
    <t>Input</t>
  </si>
  <si>
    <t>One-Time</t>
  </si>
  <si>
    <t>Annual Cost</t>
  </si>
  <si>
    <t>Monthly Cost</t>
  </si>
  <si>
    <t>Notes</t>
  </si>
  <si>
    <t>Product Tier</t>
  </si>
  <si>
    <t>Both</t>
  </si>
  <si>
    <t>Select: Access, Enterprise, or Both</t>
  </si>
  <si>
    <t>Base Annual Price</t>
  </si>
  <si>
    <t>Access=$42K | Enterprise=$30K | Both=$72K</t>
  </si>
  <si>
    <t>Users Included (base)</t>
  </si>
  <si>
    <t>5 users included in base price</t>
  </si>
  <si>
    <t>Total Users Needed</t>
  </si>
  <si>
    <t>Blue = editable input</t>
  </si>
  <si>
    <t>Additional Users</t>
  </si>
  <si>
    <t>+$250/mo per additional user</t>
  </si>
  <si>
    <t>Accounts Included (base)</t>
  </si>
  <si>
    <t>220 accounts included in base price</t>
  </si>
  <si>
    <t>Total Accounts Needed</t>
  </si>
  <si>
    <t>+$25/mo per additional 5 accounts</t>
  </si>
  <si>
    <t>Addl Account Blocks (per 5)</t>
  </si>
  <si>
    <t>+$25/mo per block of 5 accounts</t>
  </si>
  <si>
    <t>BASE PRODUCT SUBTOTAL</t>
  </si>
  <si>
    <t xml:space="preserve">  2. ATTRIBUTION ADD-ON</t>
  </si>
  <si>
    <t>Attribution Add-on?</t>
  </si>
  <si>
    <t>No</t>
  </si>
  <si>
    <t>Enter 'Yes' or 'No'</t>
  </si>
  <si>
    <t>Attribution Cost</t>
  </si>
  <si>
    <t>$5K/yr for Attribution add-on</t>
  </si>
  <si>
    <t>Data Included w/ Attribution:</t>
  </si>
  <si>
    <t xml:space="preserve">  • SimilarWeb</t>
  </si>
  <si>
    <t>Included IF buying Attribution add-on</t>
  </si>
  <si>
    <t xml:space="preserve">  • Unicast</t>
  </si>
  <si>
    <t>Data Included with Base TopLine Access:</t>
  </si>
  <si>
    <t xml:space="preserve">  • MRI Simmons, Nielsen, Scarborough</t>
  </si>
  <si>
    <t>Included with purchase of TopLine</t>
  </si>
  <si>
    <t>ATTRIBUTION SUBTOTAL</t>
  </si>
  <si>
    <t xml:space="preserve">  3. CUSTOM DATA &amp; INTEGRATION SERVICES</t>
  </si>
  <si>
    <t>Hours</t>
  </si>
  <si>
    <t>One-Time Cost</t>
  </si>
  <si>
    <t>Annual Maint.</t>
  </si>
  <si>
    <t>Monthly Maint.</t>
  </si>
  <si>
    <t>Additional Data Sets ($300/hr)</t>
  </si>
  <si>
    <t>$300/hr; 10% annual maint. fee</t>
  </si>
  <si>
    <t>CRM Integration ($300/hr)</t>
  </si>
  <si>
    <t>Data Integration ($300/hr)</t>
  </si>
  <si>
    <t>INTEGRATION SUBTOTAL</t>
  </si>
  <si>
    <t>One-time + annual/monthly maintenance</t>
  </si>
  <si>
    <t xml:space="preserve">  4. ADD-ONS</t>
  </si>
  <si>
    <t>SpotOn Audio Upgrade?</t>
  </si>
  <si>
    <t>$18K/yr — 750 spots included</t>
  </si>
  <si>
    <t>SpotOn Audio Cost</t>
  </si>
  <si>
    <t>Number of :15 Videos</t>
  </si>
  <si>
    <t>3 credits per :15 video</t>
  </si>
  <si>
    <t>Credits Used for :15s</t>
  </si>
  <si>
    <t>Number of :30 Videos</t>
  </si>
  <si>
    <t>6 credits per :30 video</t>
  </si>
  <si>
    <t>Credits Used for :30s</t>
  </si>
  <si>
    <t>Total Credits Needed</t>
  </si>
  <si>
    <t>Credit Packages Required (300 ea)</t>
  </si>
  <si>
    <t>$500 per 300-credit package</t>
  </si>
  <si>
    <t>Video Cost</t>
  </si>
  <si>
    <t>CHUY Devices</t>
  </si>
  <si>
    <t>$99 one-time + $10/mo per device</t>
  </si>
  <si>
    <t>CHUY One-Time Setup</t>
  </si>
  <si>
    <t>$99 one-time per device</t>
  </si>
  <si>
    <t>CHUY Monthly Device Fee</t>
  </si>
  <si>
    <t>CHUY Dashboard Access?</t>
  </si>
  <si>
    <t>$119/mo for dashboard</t>
  </si>
  <si>
    <t>CHUY Dashboard Cost</t>
  </si>
  <si>
    <t>ADD-ONS SUBTOTAL</t>
  </si>
  <si>
    <t>CHUY setup is one-time; rest recurring</t>
  </si>
  <si>
    <t xml:space="preserve">  DEAL SUMMARY</t>
  </si>
  <si>
    <t>Component</t>
  </si>
  <si>
    <t>One-Time / Upfront</t>
  </si>
  <si>
    <t>Base Product</t>
  </si>
  <si>
    <t>Attribution Add-on</t>
  </si>
  <si>
    <t>Integration — One-Time Fees</t>
  </si>
  <si>
    <t>Integration — Ongoing Maintenance</t>
  </si>
  <si>
    <t>Add-Ons — One-Time (CHUY Setup)</t>
  </si>
  <si>
    <t>Add-Ons — Recurring</t>
  </si>
  <si>
    <t>TOTAL ONE-TIME / UPFRONT FEES</t>
  </si>
  <si>
    <t>TOTAL ANNUAL COST</t>
  </si>
  <si>
    <t>TOTAL MONTHLY COST</t>
  </si>
  <si>
    <t>Monthly Check (Annual ÷ 12)</t>
  </si>
  <si>
    <t>Should match Total Monthly Cost</t>
  </si>
  <si>
    <t>TopLine Deal Calc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</si>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</sst>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95A5A6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0"/>
      <color rgb="FF1B2A4A"/>
      <name val="Arial"/>
      <family val="2"/>
    </font>
    <font>
      <i/>
      <sz val="9"/>
      <color rgb="FF7F8C8D"/>
      <name val="Arial"/>
      <family val="2"/>
    </font>
    <font>
      <b/>
      <sz val="11"/>
      <color rgb="FF000000"/>
      <name val="Arial"/>
      <family val="2"/>
    </font>
    <font>
      <b/>
      <sz val="12"/>
      <color rgb="FF1B5E20"/>
      <name val="Arial"/>
      <family val="2"/>
    </font>
    <font>
      <b/>
      <i/>
      <sz val="10"/>
      <name val="Arial"/>
      <family val="2"/>
    </font>
    <font>
      <b/>
      <sz val="12"/>
      <color rgb="FF8B4513"/>
      <name val="Arial"/>
      <family val="2"/>
    </font>
    <font>
      <b/>
      <sz val="13"/>
      <color rgb="FF8B4513"/>
      <name val="Arial"/>
      <family val="2"/>
    </font>
    <font>
      <b/>
      <sz val="13"/>
      <color rgb="FF1B5E20"/>
      <name val="Arial"/>
      <family val="2"/>
    </font>
    <font>
      <b/>
      <sz val="14"/>
      <color rgb="FF1B5E20"/>
      <name val="Arial"/>
      <family val="2"/>
    </font>
    <font>
      <b/>
      <sz val="13"/>
      <color rgb="FF1B2A4A"/>
      <name val="Arial"/>
      <family val="2"/>
    </font>
    <font>
      <b/>
      <sz val="14"/>
      <color rgb="FF1B2A4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E6"/>
        <bgColor rgb="FFFFF3E0"/>
      </patternFill>
    </fill>
    <fill>
      <patternFill patternType="solid">
        <fgColor rgb="FFD4EDDA"/>
        <bgColor rgb="FFE3F2FD"/>
      </patternFill>
    </fill>
    <fill>
      <patternFill patternType="solid">
        <fgColor rgb="FFF5F6FA"/>
        <bgColor rgb="FFE8F0FE"/>
      </patternFill>
    </fill>
    <fill>
      <patternFill patternType="solid">
        <fgColor rgb="FFFFF3E0"/>
        <bgColor rgb="FFFFF9E6"/>
      </patternFill>
    </fill>
    <fill>
      <patternFill patternType="solid">
        <fgColor rgb="FFE3F2FD"/>
        <bgColor rgb="FFE8F0FE"/>
      </patternFill>
    </fill>
    <fill>
      <patternFill patternType="solid">
        <fgColor theme="7" tint="-0.249977111117893"/>
        <bgColor rgb="FF003366"/>
      </patternFill>
    </fill>
    <fill>
      <patternFill patternType="solid">
        <fgColor theme="7" tint="-0.249977111117893"/>
        <bgColor rgb="FF1B2A4A"/>
      </patternFill>
    </fill>
    <fill>
      <patternFill patternType="solid">
        <fgColor theme="7" tint="0.59999389629810485"/>
        <bgColor rgb="FFE3F2FD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/>
    <xf numFmtId="0" fontId="4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2"/>
    </xf>
    <xf numFmtId="0" fontId="10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164" fontId="12" fillId="5" borderId="2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164" fontId="14" fillId="3" borderId="2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164" fontId="16" fillId="6" borderId="2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9E6"/>
      <rgbColor rgb="FFE3F2FD"/>
      <rgbColor rgb="FF660066"/>
      <rgbColor rgb="FFFF8080"/>
      <rgbColor rgb="FF0066CC"/>
      <rgbColor rgb="FFF5F6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5A5A6"/>
      <rgbColor rgb="FF003366"/>
      <rgbColor rgb="FF339966"/>
      <rgbColor rgb="FF003300"/>
      <rgbColor rgb="FF333300"/>
      <rgbColor rgb="FF8B4513"/>
      <rgbColor rgb="FF993366"/>
      <rgbColor rgb="FF34495E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Normal="100" workbookViewId="0">
      <pane ySplit="3" topLeftCell="A4" activePane="bottomLeft" state="frozen"/>
      <selection pane="bottomLeft" activeCell="C16" sqref="C16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6" width="18" customWidth="1"/>
    <col min="7" max="7" width="34" customWidth="1"/>
  </cols>
  <sheetData>
    <row r="1" spans="1:7" ht="39.75" customHeight="1" x14ac:dyDescent="0.2">
      <c r="A1" s="25" t="s">
        <v>92</v>
      </c>
      <c r="B1" s="25"/>
      <c r="C1" s="25"/>
      <c r="D1" s="25"/>
      <c r="E1" s="25"/>
      <c r="F1" s="25"/>
      <c r="G1" s="25"/>
    </row>
    <row r="2" spans="1:7" ht="21.75" customHeight="1" x14ac:dyDescent="0.2">
      <c r="A2" s="26" t="s">
        <v>0</v>
      </c>
      <c r="B2" s="26"/>
      <c r="C2" s="26"/>
      <c r="D2" s="26"/>
      <c r="E2" s="26"/>
      <c r="F2" s="26"/>
      <c r="G2" s="26"/>
    </row>
    <row r="3" spans="1:7" ht="7.5" customHeight="1" x14ac:dyDescent="0.2"/>
    <row r="4" spans="1:7" ht="27.75" customHeight="1" x14ac:dyDescent="0.2">
      <c r="A4" s="27" t="s">
        <v>1</v>
      </c>
      <c r="B4" s="27"/>
      <c r="C4" s="27"/>
      <c r="D4" s="27"/>
      <c r="E4" s="27"/>
      <c r="F4" s="27"/>
      <c r="G4" s="27"/>
    </row>
    <row r="5" spans="1:7" x14ac:dyDescent="0.2">
      <c r="B5" s="1" t="s">
        <v>2</v>
      </c>
      <c r="C5" s="2"/>
      <c r="E5" s="3" t="s">
        <v>3</v>
      </c>
      <c r="F5" s="2"/>
    </row>
    <row r="6" spans="1:7" ht="7.5" customHeight="1" x14ac:dyDescent="0.2"/>
    <row r="7" spans="1:7" ht="27.75" customHeight="1" x14ac:dyDescent="0.2">
      <c r="A7" s="27" t="s">
        <v>4</v>
      </c>
      <c r="B7" s="27"/>
      <c r="C7" s="27"/>
      <c r="D7" s="27"/>
      <c r="E7" s="27"/>
      <c r="F7" s="27"/>
      <c r="G7" s="27"/>
    </row>
    <row r="8" spans="1:7" x14ac:dyDescent="0.2">
      <c r="B8" s="28" t="s">
        <v>5</v>
      </c>
      <c r="C8" s="28" t="s">
        <v>6</v>
      </c>
      <c r="D8" s="28" t="s">
        <v>7</v>
      </c>
      <c r="E8" s="28" t="s">
        <v>8</v>
      </c>
      <c r="F8" s="28" t="s">
        <v>9</v>
      </c>
      <c r="G8" s="28" t="s">
        <v>10</v>
      </c>
    </row>
    <row r="9" spans="1:7" x14ac:dyDescent="0.2">
      <c r="B9" s="1" t="s">
        <v>11</v>
      </c>
      <c r="C9" s="4" t="s">
        <v>12</v>
      </c>
      <c r="G9" s="5" t="s">
        <v>13</v>
      </c>
    </row>
    <row r="10" spans="1:7" x14ac:dyDescent="0.2">
      <c r="B10" s="1" t="s">
        <v>14</v>
      </c>
      <c r="E10" s="6">
        <f>IF(C9="Access",42000,IF(C9="Enterprise",30000,IF(C9="Both",72000,0)))</f>
        <v>72000</v>
      </c>
      <c r="F10" s="6">
        <f>IF(C9="Access",3500,IF(C9="Enterprise",2500,IF(C9="Both",6000,0)))</f>
        <v>6000</v>
      </c>
      <c r="G10" s="5" t="s">
        <v>15</v>
      </c>
    </row>
    <row r="11" spans="1:7" x14ac:dyDescent="0.2">
      <c r="B11" s="1" t="s">
        <v>16</v>
      </c>
      <c r="C11" s="7">
        <v>5</v>
      </c>
      <c r="G11" s="5" t="s">
        <v>17</v>
      </c>
    </row>
    <row r="12" spans="1:7" x14ac:dyDescent="0.2">
      <c r="B12" s="1" t="s">
        <v>18</v>
      </c>
      <c r="C12" s="4">
        <v>5</v>
      </c>
      <c r="G12" s="5" t="s">
        <v>19</v>
      </c>
    </row>
    <row r="13" spans="1:7" x14ac:dyDescent="0.2">
      <c r="B13" s="8" t="s">
        <v>20</v>
      </c>
      <c r="C13" s="3">
        <v>1</v>
      </c>
      <c r="E13" s="6">
        <f>C13*250*12</f>
        <v>3000</v>
      </c>
      <c r="F13" s="6">
        <f>C13*250</f>
        <v>250</v>
      </c>
      <c r="G13" s="5" t="s">
        <v>21</v>
      </c>
    </row>
    <row r="14" spans="1:7" x14ac:dyDescent="0.2">
      <c r="B14" s="1" t="s">
        <v>22</v>
      </c>
      <c r="C14" s="7">
        <v>220</v>
      </c>
      <c r="G14" s="5" t="s">
        <v>23</v>
      </c>
    </row>
    <row r="15" spans="1:7" x14ac:dyDescent="0.2">
      <c r="B15" s="1" t="s">
        <v>24</v>
      </c>
      <c r="C15" s="4">
        <v>220</v>
      </c>
      <c r="G15" s="5" t="s">
        <v>25</v>
      </c>
    </row>
    <row r="16" spans="1:7" x14ac:dyDescent="0.2">
      <c r="B16" s="8" t="s">
        <v>26</v>
      </c>
      <c r="C16" s="3">
        <f>ROUNDUP(MAX(C15-C14,0)/5,0)</f>
        <v>0</v>
      </c>
      <c r="E16" s="6">
        <f>C16*25*12</f>
        <v>0</v>
      </c>
      <c r="F16" s="6">
        <f>C16*25</f>
        <v>0</v>
      </c>
      <c r="G16" s="5" t="s">
        <v>27</v>
      </c>
    </row>
    <row r="17" spans="1:7" ht="16" x14ac:dyDescent="0.2">
      <c r="B17" s="9" t="s">
        <v>28</v>
      </c>
      <c r="E17" s="10">
        <f>E10+E13+E16</f>
        <v>75000</v>
      </c>
      <c r="F17" s="10">
        <f>F10+F13+F16</f>
        <v>6250</v>
      </c>
    </row>
    <row r="18" spans="1:7" ht="7.5" customHeight="1" x14ac:dyDescent="0.2"/>
    <row r="19" spans="1:7" ht="27.75" customHeight="1" x14ac:dyDescent="0.2">
      <c r="A19" s="27" t="s">
        <v>29</v>
      </c>
      <c r="B19" s="27"/>
      <c r="C19" s="27"/>
      <c r="D19" s="27"/>
      <c r="E19" s="27"/>
      <c r="F19" s="27"/>
      <c r="G19" s="27"/>
    </row>
    <row r="20" spans="1:7" x14ac:dyDescent="0.2">
      <c r="B20" s="28" t="s">
        <v>5</v>
      </c>
      <c r="C20" s="28" t="s">
        <v>6</v>
      </c>
      <c r="D20" s="28" t="s">
        <v>7</v>
      </c>
      <c r="E20" s="28" t="s">
        <v>8</v>
      </c>
      <c r="F20" s="28" t="s">
        <v>9</v>
      </c>
      <c r="G20" s="28" t="s">
        <v>10</v>
      </c>
    </row>
    <row r="21" spans="1:7" x14ac:dyDescent="0.2">
      <c r="B21" s="1" t="s">
        <v>30</v>
      </c>
      <c r="C21" s="4" t="s">
        <v>93</v>
      </c>
      <c r="G21" s="5" t="s">
        <v>32</v>
      </c>
    </row>
    <row r="22" spans="1:7" x14ac:dyDescent="0.2">
      <c r="B22" s="1" t="s">
        <v>33</v>
      </c>
      <c r="E22" s="6">
        <f>IF(C21="Yes",5000,0)</f>
        <v>5000</v>
      </c>
      <c r="F22" s="6">
        <f>E22/12</f>
        <v>416.66666666666669</v>
      </c>
      <c r="G22" s="5" t="s">
        <v>34</v>
      </c>
    </row>
    <row r="23" spans="1:7" x14ac:dyDescent="0.2">
      <c r="B23" s="11" t="s">
        <v>35</v>
      </c>
    </row>
    <row r="24" spans="1:7" x14ac:dyDescent="0.2">
      <c r="B24" s="12" t="s">
        <v>36</v>
      </c>
      <c r="G24" s="5" t="s">
        <v>37</v>
      </c>
    </row>
    <row r="25" spans="1:7" x14ac:dyDescent="0.2">
      <c r="B25" s="12" t="s">
        <v>38</v>
      </c>
      <c r="G25" s="5" t="s">
        <v>37</v>
      </c>
    </row>
    <row r="26" spans="1:7" x14ac:dyDescent="0.2">
      <c r="B26" s="13" t="s">
        <v>39</v>
      </c>
    </row>
    <row r="27" spans="1:7" x14ac:dyDescent="0.2">
      <c r="B27" s="12" t="s">
        <v>40</v>
      </c>
      <c r="G27" s="5" t="s">
        <v>41</v>
      </c>
    </row>
    <row r="28" spans="1:7" ht="16" x14ac:dyDescent="0.2">
      <c r="B28" s="9" t="s">
        <v>42</v>
      </c>
      <c r="E28" s="10">
        <f>E22</f>
        <v>5000</v>
      </c>
      <c r="F28" s="10">
        <f>F22</f>
        <v>416.66666666666669</v>
      </c>
    </row>
    <row r="29" spans="1:7" ht="7.5" customHeight="1" x14ac:dyDescent="0.2"/>
    <row r="30" spans="1:7" ht="27.75" customHeight="1" x14ac:dyDescent="0.2">
      <c r="A30" s="27" t="s">
        <v>43</v>
      </c>
      <c r="B30" s="27"/>
      <c r="C30" s="27"/>
      <c r="D30" s="27"/>
      <c r="E30" s="27"/>
      <c r="F30" s="27"/>
      <c r="G30" s="27"/>
    </row>
    <row r="31" spans="1:7" x14ac:dyDescent="0.2">
      <c r="B31" s="28" t="s">
        <v>5</v>
      </c>
      <c r="C31" s="28" t="s">
        <v>44</v>
      </c>
      <c r="D31" s="28" t="s">
        <v>45</v>
      </c>
      <c r="E31" s="28" t="s">
        <v>46</v>
      </c>
      <c r="F31" s="28" t="s">
        <v>47</v>
      </c>
      <c r="G31" s="28" t="s">
        <v>10</v>
      </c>
    </row>
    <row r="32" spans="1:7" x14ac:dyDescent="0.2">
      <c r="B32" s="1" t="s">
        <v>48</v>
      </c>
      <c r="C32" s="4">
        <v>0</v>
      </c>
      <c r="D32" s="6">
        <f>C32*300</f>
        <v>0</v>
      </c>
      <c r="E32" s="6">
        <f>D32*0.1</f>
        <v>0</v>
      </c>
      <c r="F32" s="6">
        <f>E32/12</f>
        <v>0</v>
      </c>
      <c r="G32" s="5" t="s">
        <v>49</v>
      </c>
    </row>
    <row r="33" spans="1:7" x14ac:dyDescent="0.2">
      <c r="B33" s="1" t="s">
        <v>50</v>
      </c>
      <c r="C33" s="4">
        <v>0</v>
      </c>
      <c r="D33" s="6">
        <f>C33*300</f>
        <v>0</v>
      </c>
      <c r="E33" s="6">
        <f>D33*0.1</f>
        <v>0</v>
      </c>
      <c r="F33" s="6">
        <f>E33/12</f>
        <v>0</v>
      </c>
      <c r="G33" s="5" t="s">
        <v>49</v>
      </c>
    </row>
    <row r="34" spans="1:7" x14ac:dyDescent="0.2">
      <c r="B34" s="1" t="s">
        <v>51</v>
      </c>
      <c r="C34" s="4">
        <v>0</v>
      </c>
      <c r="D34" s="6">
        <f>C34*300</f>
        <v>0</v>
      </c>
      <c r="E34" s="6">
        <f>D34*0.1</f>
        <v>0</v>
      </c>
      <c r="F34" s="6">
        <f>E34/12</f>
        <v>0</v>
      </c>
      <c r="G34" s="5" t="s">
        <v>49</v>
      </c>
    </row>
    <row r="35" spans="1:7" ht="16" x14ac:dyDescent="0.2">
      <c r="B35" s="9" t="s">
        <v>52</v>
      </c>
      <c r="D35" s="10">
        <f>SUM(D32:D34)</f>
        <v>0</v>
      </c>
      <c r="E35" s="10">
        <f>SUM(E32:E34)</f>
        <v>0</v>
      </c>
      <c r="F35" s="10">
        <f>SUM(F32:F34)</f>
        <v>0</v>
      </c>
      <c r="G35" s="5" t="s">
        <v>53</v>
      </c>
    </row>
    <row r="36" spans="1:7" ht="7.5" customHeight="1" x14ac:dyDescent="0.2"/>
    <row r="37" spans="1:7" ht="27.75" customHeight="1" x14ac:dyDescent="0.2">
      <c r="A37" s="27" t="s">
        <v>54</v>
      </c>
      <c r="B37" s="27"/>
      <c r="C37" s="27"/>
      <c r="D37" s="27"/>
      <c r="E37" s="27"/>
      <c r="F37" s="27"/>
      <c r="G37" s="27"/>
    </row>
    <row r="38" spans="1:7" x14ac:dyDescent="0.2">
      <c r="B38" s="28" t="s">
        <v>5</v>
      </c>
      <c r="C38" s="28" t="s">
        <v>6</v>
      </c>
      <c r="D38" s="28" t="s">
        <v>7</v>
      </c>
      <c r="E38" s="28" t="s">
        <v>8</v>
      </c>
      <c r="F38" s="28" t="s">
        <v>9</v>
      </c>
      <c r="G38" s="28" t="s">
        <v>10</v>
      </c>
    </row>
    <row r="39" spans="1:7" x14ac:dyDescent="0.2">
      <c r="B39" s="1" t="s">
        <v>55</v>
      </c>
      <c r="C39" s="4" t="s">
        <v>31</v>
      </c>
      <c r="G39" s="5" t="s">
        <v>56</v>
      </c>
    </row>
    <row r="40" spans="1:7" x14ac:dyDescent="0.2">
      <c r="B40" s="8" t="s">
        <v>57</v>
      </c>
      <c r="E40" s="6">
        <f>IF(C39="Yes",18000,0)</f>
        <v>0</v>
      </c>
      <c r="F40" s="6">
        <f>E40/12</f>
        <v>0</v>
      </c>
    </row>
    <row r="41" spans="1:7" x14ac:dyDescent="0.2">
      <c r="B41" s="1" t="s">
        <v>58</v>
      </c>
      <c r="C41" s="4">
        <v>0</v>
      </c>
      <c r="G41" s="5" t="s">
        <v>59</v>
      </c>
    </row>
    <row r="42" spans="1:7" x14ac:dyDescent="0.2">
      <c r="B42" s="8" t="s">
        <v>60</v>
      </c>
      <c r="C42" s="3">
        <f>C41*3</f>
        <v>0</v>
      </c>
    </row>
    <row r="43" spans="1:7" x14ac:dyDescent="0.2">
      <c r="B43" s="1" t="s">
        <v>61</v>
      </c>
      <c r="C43" s="4">
        <v>0</v>
      </c>
      <c r="G43" s="5" t="s">
        <v>62</v>
      </c>
    </row>
    <row r="44" spans="1:7" x14ac:dyDescent="0.2">
      <c r="B44" s="8" t="s">
        <v>63</v>
      </c>
      <c r="C44" s="3">
        <f>C43*6</f>
        <v>0</v>
      </c>
    </row>
    <row r="45" spans="1:7" x14ac:dyDescent="0.2">
      <c r="B45" s="8" t="s">
        <v>64</v>
      </c>
      <c r="C45" s="3">
        <f>C42+C44</f>
        <v>0</v>
      </c>
    </row>
    <row r="46" spans="1:7" x14ac:dyDescent="0.2">
      <c r="B46" s="8" t="s">
        <v>65</v>
      </c>
      <c r="C46" s="3">
        <f>ROUNDUP(C45/300,0)</f>
        <v>0</v>
      </c>
      <c r="G46" s="5" t="s">
        <v>66</v>
      </c>
    </row>
    <row r="47" spans="1:7" x14ac:dyDescent="0.2">
      <c r="B47" s="8" t="s">
        <v>67</v>
      </c>
      <c r="E47" s="6">
        <f>C46*500</f>
        <v>0</v>
      </c>
      <c r="F47" s="6">
        <f>E47/12</f>
        <v>0</v>
      </c>
    </row>
    <row r="48" spans="1:7" x14ac:dyDescent="0.2">
      <c r="B48" s="1" t="s">
        <v>68</v>
      </c>
      <c r="C48" s="4">
        <v>0</v>
      </c>
      <c r="G48" s="5" t="s">
        <v>69</v>
      </c>
    </row>
    <row r="49" spans="1:7" x14ac:dyDescent="0.2">
      <c r="B49" s="8" t="s">
        <v>70</v>
      </c>
      <c r="D49" s="6">
        <f>C48*99</f>
        <v>0</v>
      </c>
      <c r="G49" s="5" t="s">
        <v>71</v>
      </c>
    </row>
    <row r="50" spans="1:7" x14ac:dyDescent="0.2">
      <c r="B50" s="8" t="s">
        <v>72</v>
      </c>
      <c r="E50" s="6">
        <f>C48*10*12</f>
        <v>0</v>
      </c>
      <c r="F50" s="6">
        <f>C48*10</f>
        <v>0</v>
      </c>
    </row>
    <row r="51" spans="1:7" x14ac:dyDescent="0.2">
      <c r="B51" s="1" t="s">
        <v>73</v>
      </c>
      <c r="C51" s="4" t="s">
        <v>31</v>
      </c>
      <c r="G51" s="5" t="s">
        <v>74</v>
      </c>
    </row>
    <row r="52" spans="1:7" x14ac:dyDescent="0.2">
      <c r="B52" s="8" t="s">
        <v>75</v>
      </c>
      <c r="E52" s="6">
        <f>IF(C51="Yes",119*12,0)</f>
        <v>0</v>
      </c>
      <c r="F52" s="6">
        <f>IF(C51="Yes",119,0)</f>
        <v>0</v>
      </c>
    </row>
    <row r="53" spans="1:7" ht="16" x14ac:dyDescent="0.2">
      <c r="B53" s="9" t="s">
        <v>76</v>
      </c>
      <c r="D53" s="10">
        <f>D49</f>
        <v>0</v>
      </c>
      <c r="E53" s="10">
        <f>E40+E47+E50+E52</f>
        <v>0</v>
      </c>
      <c r="F53" s="10">
        <f>F40+F47+F50+F52</f>
        <v>0</v>
      </c>
      <c r="G53" s="5" t="s">
        <v>77</v>
      </c>
    </row>
    <row r="54" spans="1:7" ht="7.5" customHeight="1" x14ac:dyDescent="0.2"/>
    <row r="55" spans="1:7" ht="27.75" customHeight="1" x14ac:dyDescent="0.2">
      <c r="A55" s="27" t="s">
        <v>78</v>
      </c>
      <c r="B55" s="27"/>
      <c r="C55" s="27"/>
      <c r="D55" s="27"/>
      <c r="E55" s="27"/>
      <c r="F55" s="27"/>
      <c r="G55" s="27"/>
    </row>
    <row r="56" spans="1:7" x14ac:dyDescent="0.2">
      <c r="B56" s="28" t="s">
        <v>79</v>
      </c>
      <c r="D56" s="28" t="s">
        <v>80</v>
      </c>
      <c r="E56" s="28" t="s">
        <v>8</v>
      </c>
      <c r="F56" s="28" t="s">
        <v>9</v>
      </c>
    </row>
    <row r="57" spans="1:7" x14ac:dyDescent="0.2">
      <c r="B57" s="14" t="s">
        <v>81</v>
      </c>
      <c r="D57" s="15"/>
      <c r="E57" s="16">
        <f>E17</f>
        <v>75000</v>
      </c>
      <c r="F57" s="16">
        <f>F17</f>
        <v>6250</v>
      </c>
    </row>
    <row r="58" spans="1:7" x14ac:dyDescent="0.2">
      <c r="B58" s="14" t="s">
        <v>82</v>
      </c>
      <c r="D58" s="15"/>
      <c r="E58" s="16">
        <f>E28</f>
        <v>5000</v>
      </c>
      <c r="F58" s="16">
        <f>F28</f>
        <v>416.66666666666669</v>
      </c>
    </row>
    <row r="59" spans="1:7" x14ac:dyDescent="0.2">
      <c r="B59" s="14" t="s">
        <v>83</v>
      </c>
      <c r="D59" s="16">
        <f>D35</f>
        <v>0</v>
      </c>
      <c r="E59" s="15"/>
      <c r="F59" s="15"/>
    </row>
    <row r="60" spans="1:7" x14ac:dyDescent="0.2">
      <c r="B60" s="14" t="s">
        <v>84</v>
      </c>
      <c r="D60" s="15"/>
      <c r="E60" s="16">
        <f>E35</f>
        <v>0</v>
      </c>
      <c r="F60" s="16">
        <f>F35</f>
        <v>0</v>
      </c>
    </row>
    <row r="61" spans="1:7" x14ac:dyDescent="0.2">
      <c r="B61" s="14" t="s">
        <v>85</v>
      </c>
      <c r="D61" s="16">
        <f>D53</f>
        <v>0</v>
      </c>
      <c r="E61" s="15"/>
      <c r="F61" s="15"/>
    </row>
    <row r="62" spans="1:7" x14ac:dyDescent="0.2">
      <c r="B62" s="14" t="s">
        <v>86</v>
      </c>
      <c r="D62" s="15"/>
      <c r="E62" s="16">
        <f>E53</f>
        <v>0</v>
      </c>
      <c r="F62" s="16">
        <f>F53</f>
        <v>0</v>
      </c>
    </row>
    <row r="63" spans="1:7" ht="6" customHeight="1" x14ac:dyDescent="0.2"/>
    <row r="64" spans="1:7" ht="17" x14ac:dyDescent="0.2">
      <c r="B64" s="17" t="s">
        <v>87</v>
      </c>
      <c r="D64" s="18">
        <f>D59+D61</f>
        <v>0</v>
      </c>
    </row>
    <row r="65" spans="2:7" ht="18" x14ac:dyDescent="0.2">
      <c r="B65" s="19" t="s">
        <v>88</v>
      </c>
      <c r="E65" s="20">
        <f>E57+E58+E60+E62</f>
        <v>80000</v>
      </c>
    </row>
    <row r="66" spans="2:7" ht="18" x14ac:dyDescent="0.2">
      <c r="B66" s="21" t="s">
        <v>89</v>
      </c>
      <c r="F66" s="22">
        <f>F57+F58+F60+F62</f>
        <v>6666.666666666667</v>
      </c>
    </row>
    <row r="67" spans="2:7" x14ac:dyDescent="0.2">
      <c r="B67" s="23" t="s">
        <v>90</v>
      </c>
      <c r="F67" s="24">
        <f>E65/12</f>
        <v>6666.666666666667</v>
      </c>
      <c r="G67" s="5" t="s">
        <v>91</v>
      </c>
    </row>
  </sheetData>
  <mergeCells count="8">
    <mergeCell ref="A30:G30"/>
    <mergeCell ref="A37:G37"/>
    <mergeCell ref="A55:G55"/>
    <mergeCell ref="A1:G1"/>
    <mergeCell ref="A2:G2"/>
    <mergeCell ref="A4:G4"/>
    <mergeCell ref="A7:G7"/>
    <mergeCell ref="A19:G19"/>
  </mergeCells>
  <dataValidations count="2">
    <dataValidation type="list" sqref="C9" xr:uid="{00000000-0002-0000-0000-000000000000}">
      <formula1>"Access,Enterprise,Both"</formula1>
      <formula2>0</formula2>
    </dataValidation>
    <dataValidation type="list" sqref="C21 C51 C39" xr:uid="{00000000-0002-0000-0000-000001000000}">
      <formula1>"Yes,No"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Wise</cp:lastModifiedBy>
  <cp:revision>0</cp:revision>
  <dcterms:created xsi:type="dcterms:W3CDTF">2026-02-10T13:20:14Z</dcterms:created>
  <dcterms:modified xsi:type="dcterms:W3CDTF">2026-02-10T15:48:55Z</dcterms:modified>
  <dc:language>en-US</dc:language>
</cp:coreProperties>
</file>