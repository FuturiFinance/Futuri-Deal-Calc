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jw/Futuri Media Dropbox/Daniel Wise/DJW/Misc/2026/"/>
    </mc:Choice>
  </mc:AlternateContent>
  <xr:revisionPtr revIDLastSave="0" documentId="13_ncr:1_{A1B4E86D-F6F3-2C4D-B0CC-7BD582B44627}" xr6:coauthVersionLast="47" xr6:coauthVersionMax="47" xr10:uidLastSave="{00000000-0000-0000-0000-000000000000}"/>
  <bookViews>
    <workbookView xWindow="44160" yWindow="1320" windowWidth="27660" windowHeight="16960" xr2:uid="{6F4B1C8C-4A45-A14F-A57C-B82BE3C9F96F}"/>
  </bookViews>
  <sheets>
    <sheet name="FAAI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8" i="2" s="1"/>
  <c r="B7" i="2" l="1"/>
  <c r="B10" i="2" l="1"/>
  <c r="B12" i="2" l="1"/>
  <c r="B13" i="2" s="1"/>
</calcChain>
</file>

<file path=xl/sharedStrings.xml><?xml version="1.0" encoding="utf-8"?>
<sst xmlns="http://schemas.openxmlformats.org/spreadsheetml/2006/main" count="26" uniqueCount="17">
  <si>
    <t>Monthly Cash Rate</t>
  </si>
  <si>
    <t>Number of Stations</t>
  </si>
  <si>
    <t>Minutes per day</t>
  </si>
  <si>
    <t>Words Per Min</t>
  </si>
  <si>
    <t>Characters Per Word</t>
  </si>
  <si>
    <t>Monthly Characters</t>
  </si>
  <si>
    <t>ElevenLabs Cost Per 1,000 characters</t>
  </si>
  <si>
    <t>11L Cost</t>
  </si>
  <si>
    <t>LLM Monthly Cost</t>
  </si>
  <si>
    <t>Futuri Support Monthly Cost</t>
  </si>
  <si>
    <t>Total Cost</t>
  </si>
  <si>
    <t>Desired Margin</t>
  </si>
  <si>
    <t>Monthly Barter Rate</t>
  </si>
  <si>
    <t>Fixed</t>
  </si>
  <si>
    <t>Input</t>
  </si>
  <si>
    <t>Calc</t>
  </si>
  <si>
    <t>Allow to modify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</si>
</sst>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43" formatCode="_(* #,##0.00_);_(* \(#,##0.00\);_(* &quot;-&quot;??_);_(@_)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8" fontId="0" fillId="0" borderId="0" xfId="0" applyNumberFormat="1"/>
    <xf numFmtId="8" fontId="3" fillId="0" borderId="0" xfId="0" applyNumberFormat="1" applyFont="1"/>
    <xf numFmtId="9" fontId="0" fillId="0" borderId="0" xfId="0" applyNumberFormat="1"/>
    <xf numFmtId="43" fontId="2" fillId="0" borderId="0" xfId="1" applyFont="1"/>
    <xf numFmtId="43" fontId="4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A2286-ECA0-9242-B540-3CCEB135E45A}">
  <dimension ref="A1:C13"/>
  <sheetViews>
    <sheetView tabSelected="1" zoomScale="130" zoomScaleNormal="130" workbookViewId="0">
      <selection activeCell="B13" sqref="B13"/>
    </sheetView>
  </sheetViews>
  <sheetFormatPr baseColWidth="10" defaultRowHeight="16" x14ac:dyDescent="0.2"/>
  <cols>
    <col min="1" max="1" width="33.33203125" bestFit="1" customWidth="1"/>
    <col min="2" max="2" width="11.5" bestFit="1" customWidth="1"/>
  </cols>
  <sheetData>
    <row r="1" spans="1:3" x14ac:dyDescent="0.2">
      <c r="A1" s="1" t="s">
        <v>1</v>
      </c>
      <c r="B1" s="2">
        <v>1</v>
      </c>
      <c r="C1" t="s">
        <v>14</v>
      </c>
    </row>
    <row r="2" spans="1:3" x14ac:dyDescent="0.2">
      <c r="A2" s="1" t="s">
        <v>2</v>
      </c>
      <c r="B2" s="2">
        <v>25</v>
      </c>
      <c r="C2" t="s">
        <v>14</v>
      </c>
    </row>
    <row r="3" spans="1:3" x14ac:dyDescent="0.2">
      <c r="A3" s="1" t="s">
        <v>3</v>
      </c>
      <c r="B3" s="2">
        <v>150</v>
      </c>
      <c r="C3" t="s">
        <v>13</v>
      </c>
    </row>
    <row r="4" spans="1:3" x14ac:dyDescent="0.2">
      <c r="A4" s="1" t="s">
        <v>4</v>
      </c>
      <c r="B4" s="2">
        <v>5</v>
      </c>
      <c r="C4" t="s">
        <v>13</v>
      </c>
    </row>
    <row r="5" spans="1:3" x14ac:dyDescent="0.2">
      <c r="A5" s="1" t="s">
        <v>5</v>
      </c>
      <c r="B5" s="2">
        <f>((B1*B2*B3*B4)*31)</f>
        <v>581250</v>
      </c>
      <c r="C5" t="s">
        <v>15</v>
      </c>
    </row>
    <row r="6" spans="1:3" x14ac:dyDescent="0.2">
      <c r="A6" s="1" t="s">
        <v>6</v>
      </c>
      <c r="B6" s="4">
        <v>0.2</v>
      </c>
      <c r="C6" t="s">
        <v>13</v>
      </c>
    </row>
    <row r="7" spans="1:3" x14ac:dyDescent="0.2">
      <c r="A7" s="1" t="s">
        <v>7</v>
      </c>
      <c r="B7" s="4">
        <f>(B5*B6)/1000</f>
        <v>116.25</v>
      </c>
      <c r="C7" t="s">
        <v>15</v>
      </c>
    </row>
    <row r="8" spans="1:3" x14ac:dyDescent="0.2">
      <c r="A8" s="1" t="s">
        <v>8</v>
      </c>
      <c r="B8" s="2">
        <f>(B5/1000)*0.05</f>
        <v>29.0625</v>
      </c>
      <c r="C8" t="s">
        <v>15</v>
      </c>
    </row>
    <row r="9" spans="1:3" x14ac:dyDescent="0.2">
      <c r="A9" s="1" t="s">
        <v>9</v>
      </c>
      <c r="B9" s="2">
        <v>0</v>
      </c>
      <c r="C9" t="s">
        <v>13</v>
      </c>
    </row>
    <row r="10" spans="1:3" x14ac:dyDescent="0.2">
      <c r="A10" s="1" t="s">
        <v>10</v>
      </c>
      <c r="B10" s="3">
        <f>B7+B8</f>
        <v>145.3125</v>
      </c>
      <c r="C10" t="s">
        <v>15</v>
      </c>
    </row>
    <row r="11" spans="1:3" x14ac:dyDescent="0.2">
      <c r="A11" s="1" t="s">
        <v>11</v>
      </c>
      <c r="B11" s="5">
        <v>0.9</v>
      </c>
      <c r="C11" t="s">
        <v>16</v>
      </c>
    </row>
    <row r="12" spans="1:3" x14ac:dyDescent="0.2">
      <c r="A12" s="1" t="s">
        <v>0</v>
      </c>
      <c r="B12" s="6">
        <f>ROUND(B10/(1-B11),-2)</f>
        <v>1500</v>
      </c>
      <c r="C12" t="s">
        <v>15</v>
      </c>
    </row>
    <row r="13" spans="1:3" x14ac:dyDescent="0.2">
      <c r="A13" s="1" t="s">
        <v>12</v>
      </c>
      <c r="B13" s="7">
        <f>B12*1.4</f>
        <v>2100</v>
      </c>
      <c r="C1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Wise</dc:creator>
  <cp:lastModifiedBy>Dan Wise</cp:lastModifiedBy>
  <dcterms:created xsi:type="dcterms:W3CDTF">2026-01-15T14:26:16Z</dcterms:created>
  <dcterms:modified xsi:type="dcterms:W3CDTF">2026-02-10T16:47:19Z</dcterms:modified>
</cp:coreProperties>
</file>